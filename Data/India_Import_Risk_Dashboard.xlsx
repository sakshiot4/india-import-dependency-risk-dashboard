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python_work\PowerBI\"/>
    </mc:Choice>
  </mc:AlternateContent>
  <xr:revisionPtr revIDLastSave="0" documentId="13_ncr:1_{662ED684-120A-42D2-88C7-478AF809D684}" xr6:coauthVersionLast="47" xr6:coauthVersionMax="47" xr10:uidLastSave="{00000000-0000-0000-0000-000000000000}"/>
  <bookViews>
    <workbookView xWindow="4296" yWindow="2016" windowWidth="17280" windowHeight="9840" xr2:uid="{4FE3AAAF-05F8-4B23-AB22-9F87317CA4B9}"/>
  </bookViews>
  <sheets>
    <sheet name="Sector_Import_Data" sheetId="1" r:id="rId1"/>
    <sheet name="Country_Sector_Matrix" sheetId="2" r:id="rId2"/>
    <sheet name="Risk_Score_Table" sheetId="3" r:id="rId3"/>
    <sheet name="Policy_Track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G2" i="3"/>
  <c r="F3" i="3"/>
  <c r="G3" i="3" s="1"/>
  <c r="F4" i="3"/>
  <c r="G4" i="3"/>
  <c r="F5" i="3"/>
  <c r="G5" i="3" s="1"/>
  <c r="F6" i="3"/>
  <c r="G6" i="3"/>
  <c r="F7" i="3"/>
  <c r="G7" i="3" s="1"/>
  <c r="F8" i="3"/>
  <c r="G8" i="3"/>
  <c r="F9" i="3"/>
  <c r="G9" i="3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3" i="1"/>
  <c r="E4" i="1"/>
  <c r="E5" i="1"/>
  <c r="E2" i="1"/>
</calcChain>
</file>

<file path=xl/sharedStrings.xml><?xml version="1.0" encoding="utf-8"?>
<sst xmlns="http://schemas.openxmlformats.org/spreadsheetml/2006/main" count="234" uniqueCount="62">
  <si>
    <t>Sector</t>
  </si>
  <si>
    <t>Total_India_Import_USD_Bn</t>
  </si>
  <si>
    <t>China_Import_USD_Bn</t>
  </si>
  <si>
    <t>China_Dependency_Pct</t>
  </si>
  <si>
    <t>PLI_Active</t>
  </si>
  <si>
    <t>Electronics &amp; Components</t>
  </si>
  <si>
    <t>Yes</t>
  </si>
  <si>
    <t>Pharma APIs &amp; Chemicals</t>
  </si>
  <si>
    <t>Plastics &amp; Rubbers</t>
  </si>
  <si>
    <t>No</t>
  </si>
  <si>
    <t>Metals &amp; Steel</t>
  </si>
  <si>
    <t>Instruments &amp; Semiconductors</t>
  </si>
  <si>
    <t>Textiles</t>
  </si>
  <si>
    <t>Transportation</t>
  </si>
  <si>
    <t>Stone &amp; Glass</t>
  </si>
  <si>
    <t>Country</t>
  </si>
  <si>
    <t>Import_Value_USD_Bn</t>
  </si>
  <si>
    <t>Share_Pct</t>
  </si>
  <si>
    <t>Country_Tag</t>
  </si>
  <si>
    <t>China</t>
  </si>
  <si>
    <t>South Korea</t>
  </si>
  <si>
    <t>Taiwan</t>
  </si>
  <si>
    <t>USA</t>
  </si>
  <si>
    <t>Rival</t>
  </si>
  <si>
    <t>Ally</t>
  </si>
  <si>
    <t>Neutral</t>
  </si>
  <si>
    <t>Germany</t>
  </si>
  <si>
    <t>Singapore</t>
  </si>
  <si>
    <t>Saudi Arabia</t>
  </si>
  <si>
    <t>Japan</t>
  </si>
  <si>
    <t>Australia</t>
  </si>
  <si>
    <t>Bangladesh</t>
  </si>
  <si>
    <t>Vietnam</t>
  </si>
  <si>
    <t>Indonesia</t>
  </si>
  <si>
    <t>UAE</t>
  </si>
  <si>
    <t>Malaysia</t>
  </si>
  <si>
    <t>Italy</t>
  </si>
  <si>
    <t>Dependency_Score</t>
  </si>
  <si>
    <t>Geopolitical_Risk</t>
  </si>
  <si>
    <t>Substitutability_Score</t>
  </si>
  <si>
    <t>Strategic_Importance</t>
  </si>
  <si>
    <t>Composite_Risk_Score</t>
  </si>
  <si>
    <t>Risk_Category</t>
  </si>
  <si>
    <t>PLI_Scheme_Name</t>
  </si>
  <si>
    <t>Year_Launched</t>
  </si>
  <si>
    <t>Budget_USD_Bn</t>
  </si>
  <si>
    <t>Import_Duty_Pct</t>
  </si>
  <si>
    <t>Estimated_Impact_Pct</t>
  </si>
  <si>
    <t>Status</t>
  </si>
  <si>
    <t>PLI for Large Scale Electronics</t>
  </si>
  <si>
    <t>Active</t>
  </si>
  <si>
    <t>PLI for Bulk Drugs APIs</t>
  </si>
  <si>
    <t>Petroleum Chemicals Petrochemicals Investment Region</t>
  </si>
  <si>
    <t>Partial</t>
  </si>
  <si>
    <t>National Steel Policy</t>
  </si>
  <si>
    <t>India Semiconductor Mission</t>
  </si>
  <si>
    <t>PLI for Textiles</t>
  </si>
  <si>
    <t>PLI for Automobile &amp; Auto Components</t>
  </si>
  <si>
    <t>No Active PLI</t>
  </si>
  <si>
    <t>NA</t>
  </si>
  <si>
    <t>Not Started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</si>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</sst>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E247-33FE-4B31-A78C-4AF907B2AD18}">
  <dimension ref="A1:F41"/>
  <sheetViews>
    <sheetView tabSelected="1" topLeftCell="B1" workbookViewId="0">
      <selection activeCell="H6" sqref="H6"/>
    </sheetView>
  </sheetViews>
  <sheetFormatPr defaultRowHeight="14.4"/>
  <cols>
    <col min="1" max="1" width="26.33203125" bestFit="1" customWidth="1"/>
    <col min="2" max="2" width="11.109375" customWidth="1"/>
    <col min="3" max="3" width="25.88671875" bestFit="1" customWidth="1"/>
    <col min="4" max="4" width="21.33203125" bestFit="1" customWidth="1"/>
    <col min="5" max="5" width="22" style="1" bestFit="1" customWidth="1"/>
    <col min="6" max="6" width="9.77734375" bestFit="1" customWidth="1"/>
  </cols>
  <sheetData>
    <row r="1" spans="1:6" s="3" customFormat="1">
      <c r="A1" s="2" t="s">
        <v>0</v>
      </c>
      <c r="B1" s="2" t="s">
        <v>61</v>
      </c>
      <c r="C1" s="2" t="s">
        <v>1</v>
      </c>
      <c r="D1" s="2" t="s">
        <v>2</v>
      </c>
      <c r="E1" s="4" t="s">
        <v>3</v>
      </c>
      <c r="F1" s="3" t="s">
        <v>4</v>
      </c>
    </row>
    <row r="2" spans="1:6">
      <c r="A2" t="s">
        <v>5</v>
      </c>
      <c r="B2">
        <v>2020</v>
      </c>
      <c r="C2">
        <v>381.4</v>
      </c>
      <c r="D2">
        <v>31.9</v>
      </c>
      <c r="E2" s="1">
        <f>D2/C2</f>
        <v>8.363922391190351E-2</v>
      </c>
      <c r="F2" t="s">
        <v>6</v>
      </c>
    </row>
    <row r="3" spans="1:6">
      <c r="A3" t="s">
        <v>5</v>
      </c>
      <c r="B3">
        <v>2021</v>
      </c>
      <c r="C3">
        <v>581.29999999999995</v>
      </c>
      <c r="D3">
        <v>43.03</v>
      </c>
      <c r="E3" s="1">
        <f t="shared" ref="E3:E5" si="0">D3/C3</f>
        <v>7.4023739893342516E-2</v>
      </c>
      <c r="F3" t="s">
        <v>6</v>
      </c>
    </row>
    <row r="4" spans="1:6">
      <c r="A4" t="s">
        <v>5</v>
      </c>
      <c r="B4">
        <v>2022</v>
      </c>
      <c r="C4">
        <v>724.4</v>
      </c>
      <c r="D4">
        <v>49.03</v>
      </c>
      <c r="E4" s="1">
        <f t="shared" si="0"/>
        <v>6.7683600220872456E-2</v>
      </c>
      <c r="F4" t="s">
        <v>6</v>
      </c>
    </row>
    <row r="5" spans="1:6">
      <c r="A5" t="s">
        <v>5</v>
      </c>
      <c r="B5">
        <v>2023</v>
      </c>
      <c r="C5">
        <v>663</v>
      </c>
      <c r="D5">
        <v>67.5</v>
      </c>
      <c r="E5" s="1">
        <f t="shared" si="0"/>
        <v>0.10180995475113122</v>
      </c>
      <c r="F5" t="s">
        <v>6</v>
      </c>
    </row>
    <row r="6" spans="1:6">
      <c r="A6" t="s">
        <v>5</v>
      </c>
      <c r="B6">
        <v>2024</v>
      </c>
      <c r="C6">
        <v>689.1</v>
      </c>
      <c r="D6">
        <v>70.88</v>
      </c>
      <c r="E6" s="1">
        <f t="shared" ref="E6:E41" si="1">D6/C6</f>
        <v>0.10285880133507473</v>
      </c>
      <c r="F6" t="s">
        <v>6</v>
      </c>
    </row>
    <row r="7" spans="1:6">
      <c r="A7" t="s">
        <v>7</v>
      </c>
      <c r="B7">
        <v>2020</v>
      </c>
      <c r="C7">
        <v>381.4</v>
      </c>
      <c r="D7">
        <v>12.23</v>
      </c>
      <c r="E7" s="1">
        <f t="shared" si="1"/>
        <v>3.2066072364971158E-2</v>
      </c>
      <c r="F7" t="s">
        <v>6</v>
      </c>
    </row>
    <row r="8" spans="1:6">
      <c r="A8" t="s">
        <v>7</v>
      </c>
      <c r="B8">
        <v>2021</v>
      </c>
      <c r="C8">
        <v>581.29999999999995</v>
      </c>
      <c r="D8">
        <v>18.100000000000001</v>
      </c>
      <c r="E8" s="1">
        <f t="shared" si="1"/>
        <v>3.1137106485463622E-2</v>
      </c>
      <c r="F8" t="s">
        <v>6</v>
      </c>
    </row>
    <row r="9" spans="1:6">
      <c r="A9" t="s">
        <v>7</v>
      </c>
      <c r="B9">
        <v>2022</v>
      </c>
      <c r="C9">
        <v>724.4</v>
      </c>
      <c r="D9">
        <v>20.05</v>
      </c>
      <c r="E9" s="1">
        <f t="shared" si="1"/>
        <v>2.7678078409718389E-2</v>
      </c>
      <c r="F9" t="s">
        <v>6</v>
      </c>
    </row>
    <row r="10" spans="1:6">
      <c r="A10" t="s">
        <v>7</v>
      </c>
      <c r="B10">
        <v>2023</v>
      </c>
      <c r="C10">
        <v>663</v>
      </c>
      <c r="D10">
        <v>18.11</v>
      </c>
      <c r="E10" s="1">
        <f t="shared" si="1"/>
        <v>2.731523378582202E-2</v>
      </c>
      <c r="F10" t="s">
        <v>6</v>
      </c>
    </row>
    <row r="11" spans="1:6">
      <c r="A11" t="s">
        <v>7</v>
      </c>
      <c r="B11">
        <v>2024</v>
      </c>
      <c r="C11">
        <v>689.1</v>
      </c>
      <c r="D11">
        <v>16.75</v>
      </c>
      <c r="E11" s="1">
        <f t="shared" si="1"/>
        <v>2.4307067189087213E-2</v>
      </c>
      <c r="F11" t="s">
        <v>6</v>
      </c>
    </row>
    <row r="12" spans="1:6">
      <c r="A12" t="s">
        <v>8</v>
      </c>
      <c r="B12">
        <v>2020</v>
      </c>
      <c r="C12">
        <v>381.4</v>
      </c>
      <c r="D12">
        <v>2.5499999999999998</v>
      </c>
      <c r="E12" s="1">
        <f t="shared" si="1"/>
        <v>6.6858940744625069E-3</v>
      </c>
      <c r="F12" t="s">
        <v>9</v>
      </c>
    </row>
    <row r="13" spans="1:6">
      <c r="A13" t="s">
        <v>8</v>
      </c>
      <c r="B13">
        <v>2021</v>
      </c>
      <c r="C13">
        <v>581.29999999999995</v>
      </c>
      <c r="D13">
        <v>4.66</v>
      </c>
      <c r="E13" s="1">
        <f t="shared" si="1"/>
        <v>8.0165147084121802E-3</v>
      </c>
      <c r="F13" t="s">
        <v>9</v>
      </c>
    </row>
    <row r="14" spans="1:6">
      <c r="A14" t="s">
        <v>8</v>
      </c>
      <c r="B14">
        <v>2022</v>
      </c>
      <c r="C14">
        <v>724.4</v>
      </c>
      <c r="D14">
        <v>5.8</v>
      </c>
      <c r="E14" s="1">
        <f t="shared" si="1"/>
        <v>8.00662617338487E-3</v>
      </c>
      <c r="F14" t="s">
        <v>9</v>
      </c>
    </row>
    <row r="15" spans="1:6">
      <c r="A15" t="s">
        <v>8</v>
      </c>
      <c r="B15">
        <v>2023</v>
      </c>
      <c r="C15">
        <v>663</v>
      </c>
      <c r="D15">
        <v>6.49</v>
      </c>
      <c r="E15" s="1">
        <f t="shared" si="1"/>
        <v>9.7888386123680237E-3</v>
      </c>
      <c r="F15" t="s">
        <v>9</v>
      </c>
    </row>
    <row r="16" spans="1:6">
      <c r="A16" t="s">
        <v>8</v>
      </c>
      <c r="B16">
        <v>2024</v>
      </c>
      <c r="C16">
        <v>689.1</v>
      </c>
      <c r="D16">
        <v>6.83</v>
      </c>
      <c r="E16" s="1">
        <f t="shared" si="1"/>
        <v>9.9114787403860108E-3</v>
      </c>
      <c r="F16" t="s">
        <v>9</v>
      </c>
    </row>
    <row r="17" spans="1:6">
      <c r="A17" t="s">
        <v>10</v>
      </c>
      <c r="B17">
        <v>2020</v>
      </c>
      <c r="C17">
        <v>381.4</v>
      </c>
      <c r="D17">
        <v>4.26</v>
      </c>
      <c r="E17" s="1">
        <f t="shared" si="1"/>
        <v>1.1169375983219716E-2</v>
      </c>
      <c r="F17" t="s">
        <v>9</v>
      </c>
    </row>
    <row r="18" spans="1:6">
      <c r="A18" t="s">
        <v>10</v>
      </c>
      <c r="B18">
        <v>2021</v>
      </c>
      <c r="C18">
        <v>581.29999999999995</v>
      </c>
      <c r="D18">
        <v>5.84</v>
      </c>
      <c r="E18" s="1">
        <f t="shared" si="1"/>
        <v>1.0046447617409256E-2</v>
      </c>
      <c r="F18" t="s">
        <v>9</v>
      </c>
    </row>
    <row r="19" spans="1:6">
      <c r="A19" t="s">
        <v>10</v>
      </c>
      <c r="B19">
        <v>2022</v>
      </c>
      <c r="C19">
        <v>724.4</v>
      </c>
      <c r="D19">
        <v>7.95</v>
      </c>
      <c r="E19" s="1">
        <f t="shared" si="1"/>
        <v>1.0974599668691331E-2</v>
      </c>
      <c r="F19" t="s">
        <v>9</v>
      </c>
    </row>
    <row r="20" spans="1:6">
      <c r="A20" t="s">
        <v>10</v>
      </c>
      <c r="B20">
        <v>2023</v>
      </c>
      <c r="C20">
        <v>663</v>
      </c>
      <c r="D20">
        <v>8.56</v>
      </c>
      <c r="E20" s="1">
        <f t="shared" si="1"/>
        <v>1.2911010558069383E-2</v>
      </c>
      <c r="F20" t="s">
        <v>9</v>
      </c>
    </row>
    <row r="21" spans="1:6">
      <c r="A21" t="s">
        <v>10</v>
      </c>
      <c r="B21">
        <v>2024</v>
      </c>
      <c r="C21">
        <v>689.1</v>
      </c>
      <c r="D21">
        <v>9.1300000000000008</v>
      </c>
      <c r="E21" s="1">
        <f t="shared" si="1"/>
        <v>1.3249165578290525E-2</v>
      </c>
      <c r="F21" t="s">
        <v>9</v>
      </c>
    </row>
    <row r="22" spans="1:6">
      <c r="A22" t="s">
        <v>11</v>
      </c>
      <c r="B22">
        <v>2020</v>
      </c>
      <c r="C22">
        <v>381.4</v>
      </c>
      <c r="D22">
        <v>1.81</v>
      </c>
      <c r="E22" s="1">
        <f t="shared" si="1"/>
        <v>4.7456738332459364E-3</v>
      </c>
      <c r="F22" t="s">
        <v>9</v>
      </c>
    </row>
    <row r="23" spans="1:6">
      <c r="A23" t="s">
        <v>11</v>
      </c>
      <c r="B23">
        <v>2021</v>
      </c>
      <c r="C23">
        <v>581.29999999999995</v>
      </c>
      <c r="D23">
        <v>2.79</v>
      </c>
      <c r="E23" s="1">
        <f t="shared" si="1"/>
        <v>4.7995871322896958E-3</v>
      </c>
      <c r="F23" t="s">
        <v>9</v>
      </c>
    </row>
    <row r="24" spans="1:6">
      <c r="A24" t="s">
        <v>11</v>
      </c>
      <c r="B24">
        <v>2022</v>
      </c>
      <c r="C24">
        <v>724.4</v>
      </c>
      <c r="D24">
        <v>2.44</v>
      </c>
      <c r="E24" s="1">
        <f t="shared" si="1"/>
        <v>3.3683048039757041E-3</v>
      </c>
      <c r="F24" t="s">
        <v>6</v>
      </c>
    </row>
    <row r="25" spans="1:6">
      <c r="A25" t="s">
        <v>11</v>
      </c>
      <c r="B25">
        <v>2023</v>
      </c>
      <c r="C25">
        <v>663</v>
      </c>
      <c r="D25">
        <v>2.99</v>
      </c>
      <c r="E25" s="1">
        <f t="shared" si="1"/>
        <v>4.5098039215686276E-3</v>
      </c>
      <c r="F25" t="s">
        <v>6</v>
      </c>
    </row>
    <row r="26" spans="1:6">
      <c r="A26" t="s">
        <v>11</v>
      </c>
      <c r="B26">
        <v>2024</v>
      </c>
      <c r="C26">
        <v>689.1</v>
      </c>
      <c r="D26">
        <v>3.14</v>
      </c>
      <c r="E26" s="1">
        <f t="shared" si="1"/>
        <v>4.5566681178348572E-3</v>
      </c>
      <c r="F26" t="s">
        <v>6</v>
      </c>
    </row>
    <row r="27" spans="1:6">
      <c r="A27" t="s">
        <v>12</v>
      </c>
      <c r="B27">
        <v>2020</v>
      </c>
      <c r="C27">
        <v>381.4</v>
      </c>
      <c r="D27">
        <v>2.64</v>
      </c>
      <c r="E27" s="1">
        <f t="shared" si="1"/>
        <v>6.9218668065023602E-3</v>
      </c>
      <c r="F27" t="s">
        <v>9</v>
      </c>
    </row>
    <row r="28" spans="1:6">
      <c r="A28" t="s">
        <v>12</v>
      </c>
      <c r="B28">
        <v>2021</v>
      </c>
      <c r="C28">
        <v>581.29999999999995</v>
      </c>
      <c r="D28">
        <v>3.93</v>
      </c>
      <c r="E28" s="1">
        <f t="shared" si="1"/>
        <v>6.7607087562360233E-3</v>
      </c>
      <c r="F28" t="s">
        <v>9</v>
      </c>
    </row>
    <row r="29" spans="1:6">
      <c r="A29" t="s">
        <v>12</v>
      </c>
      <c r="B29">
        <v>2022</v>
      </c>
      <c r="C29">
        <v>724.4</v>
      </c>
      <c r="D29">
        <v>4.75</v>
      </c>
      <c r="E29" s="1">
        <f t="shared" si="1"/>
        <v>6.5571507454445059E-3</v>
      </c>
      <c r="F29" t="s">
        <v>9</v>
      </c>
    </row>
    <row r="30" spans="1:6">
      <c r="A30" t="s">
        <v>12</v>
      </c>
      <c r="B30">
        <v>2023</v>
      </c>
      <c r="C30">
        <v>663</v>
      </c>
      <c r="D30">
        <v>4.83</v>
      </c>
      <c r="E30" s="1">
        <f t="shared" si="1"/>
        <v>7.2850678733031677E-3</v>
      </c>
      <c r="F30" t="s">
        <v>9</v>
      </c>
    </row>
    <row r="31" spans="1:6">
      <c r="A31" t="s">
        <v>12</v>
      </c>
      <c r="B31">
        <v>2024</v>
      </c>
      <c r="C31">
        <v>689.1</v>
      </c>
      <c r="D31">
        <v>4.3899999999999997</v>
      </c>
      <c r="E31" s="1">
        <f t="shared" si="1"/>
        <v>6.3706283558264392E-3</v>
      </c>
      <c r="F31" t="s">
        <v>9</v>
      </c>
    </row>
    <row r="32" spans="1:6">
      <c r="A32" t="s">
        <v>13</v>
      </c>
      <c r="B32">
        <v>2020</v>
      </c>
      <c r="C32">
        <v>381.4</v>
      </c>
      <c r="D32">
        <v>1.52</v>
      </c>
      <c r="E32" s="1">
        <f t="shared" si="1"/>
        <v>3.9853172522286316E-3</v>
      </c>
      <c r="F32" t="s">
        <v>9</v>
      </c>
    </row>
    <row r="33" spans="1:6">
      <c r="A33" t="s">
        <v>13</v>
      </c>
      <c r="B33">
        <v>2021</v>
      </c>
      <c r="C33">
        <v>581.29999999999995</v>
      </c>
      <c r="D33">
        <v>2.11</v>
      </c>
      <c r="E33" s="1">
        <f t="shared" si="1"/>
        <v>3.629795286426974E-3</v>
      </c>
      <c r="F33" t="s">
        <v>9</v>
      </c>
    </row>
    <row r="34" spans="1:6">
      <c r="A34" t="s">
        <v>13</v>
      </c>
      <c r="B34">
        <v>2022</v>
      </c>
      <c r="C34">
        <v>724.4</v>
      </c>
      <c r="D34">
        <v>2.37</v>
      </c>
      <c r="E34" s="1">
        <f t="shared" si="1"/>
        <v>3.2716731087796798E-3</v>
      </c>
      <c r="F34" t="s">
        <v>9</v>
      </c>
    </row>
    <row r="35" spans="1:6">
      <c r="A35" t="s">
        <v>13</v>
      </c>
      <c r="B35">
        <v>2023</v>
      </c>
      <c r="C35">
        <v>663</v>
      </c>
      <c r="D35">
        <v>2.76</v>
      </c>
      <c r="E35" s="1">
        <f t="shared" si="1"/>
        <v>4.1628959276018094E-3</v>
      </c>
      <c r="F35" t="s">
        <v>9</v>
      </c>
    </row>
    <row r="36" spans="1:6">
      <c r="A36" t="s">
        <v>13</v>
      </c>
      <c r="B36">
        <v>2024</v>
      </c>
      <c r="C36">
        <v>689.1</v>
      </c>
      <c r="D36">
        <v>2.73</v>
      </c>
      <c r="E36" s="1">
        <f t="shared" si="1"/>
        <v>3.961689159773618E-3</v>
      </c>
      <c r="F36" t="s">
        <v>9</v>
      </c>
    </row>
    <row r="37" spans="1:6">
      <c r="A37" t="s">
        <v>14</v>
      </c>
      <c r="B37">
        <v>2020</v>
      </c>
      <c r="C37">
        <v>381.4</v>
      </c>
      <c r="D37">
        <v>1.26</v>
      </c>
      <c r="E37" s="1">
        <f t="shared" si="1"/>
        <v>3.3036182485579445E-3</v>
      </c>
      <c r="F37" t="s">
        <v>9</v>
      </c>
    </row>
    <row r="38" spans="1:6">
      <c r="A38" t="s">
        <v>14</v>
      </c>
      <c r="B38">
        <v>2021</v>
      </c>
      <c r="C38">
        <v>581.29999999999995</v>
      </c>
      <c r="D38">
        <v>1.62</v>
      </c>
      <c r="E38" s="1">
        <f t="shared" si="1"/>
        <v>2.7868570445553076E-3</v>
      </c>
      <c r="F38" t="s">
        <v>9</v>
      </c>
    </row>
    <row r="39" spans="1:6">
      <c r="A39" t="s">
        <v>14</v>
      </c>
      <c r="B39">
        <v>2022</v>
      </c>
      <c r="C39">
        <v>724.4</v>
      </c>
      <c r="D39">
        <v>2.13</v>
      </c>
      <c r="E39" s="1">
        <f t="shared" si="1"/>
        <v>2.9403644395361679E-3</v>
      </c>
      <c r="F39" t="s">
        <v>9</v>
      </c>
    </row>
    <row r="40" spans="1:6">
      <c r="A40" t="s">
        <v>14</v>
      </c>
      <c r="B40">
        <v>2023</v>
      </c>
      <c r="C40">
        <v>663</v>
      </c>
      <c r="D40">
        <v>2.21</v>
      </c>
      <c r="E40" s="1">
        <f t="shared" si="1"/>
        <v>3.3333333333333331E-3</v>
      </c>
      <c r="F40" t="s">
        <v>9</v>
      </c>
    </row>
    <row r="41" spans="1:6">
      <c r="A41" t="s">
        <v>14</v>
      </c>
      <c r="B41">
        <v>2024</v>
      </c>
      <c r="C41">
        <v>689.1</v>
      </c>
      <c r="D41">
        <v>2.36</v>
      </c>
      <c r="E41" s="1">
        <f t="shared" si="1"/>
        <v>3.424756929328109E-3</v>
      </c>
      <c r="F4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4D03-28D0-4832-A077-9200BD0EC4BD}">
  <dimension ref="A1:E33"/>
  <sheetViews>
    <sheetView workbookViewId="0">
      <selection activeCell="D32" sqref="D32"/>
    </sheetView>
  </sheetViews>
  <sheetFormatPr defaultRowHeight="14.4"/>
  <cols>
    <col min="1" max="1" width="22.77734375" bestFit="1" customWidth="1"/>
    <col min="2" max="2" width="14.33203125" customWidth="1"/>
    <col min="3" max="3" width="23.33203125" customWidth="1"/>
    <col min="4" max="4" width="14.44140625" style="1" customWidth="1"/>
    <col min="5" max="5" width="16.77734375" customWidth="1"/>
  </cols>
  <sheetData>
    <row r="1" spans="1:5" s="3" customFormat="1">
      <c r="A1" s="2" t="s">
        <v>0</v>
      </c>
      <c r="B1" s="2" t="s">
        <v>15</v>
      </c>
      <c r="C1" s="2" t="s">
        <v>16</v>
      </c>
      <c r="D1" s="4" t="s">
        <v>17</v>
      </c>
      <c r="E1" s="3" t="s">
        <v>18</v>
      </c>
    </row>
    <row r="2" spans="1:5">
      <c r="A2" t="s">
        <v>5</v>
      </c>
      <c r="B2" t="s">
        <v>19</v>
      </c>
      <c r="C2">
        <v>70.88</v>
      </c>
      <c r="D2" s="1">
        <f>C2/SUM(C2:C5)</f>
        <v>0.90895101308027704</v>
      </c>
      <c r="E2" t="s">
        <v>23</v>
      </c>
    </row>
    <row r="3" spans="1:5">
      <c r="A3" t="s">
        <v>5</v>
      </c>
      <c r="B3" t="s">
        <v>20</v>
      </c>
      <c r="C3">
        <v>3.2</v>
      </c>
      <c r="D3" s="1">
        <f>C3/SUM(C2:C5)</f>
        <v>4.1036163118748407E-2</v>
      </c>
      <c r="E3" t="s">
        <v>24</v>
      </c>
    </row>
    <row r="4" spans="1:5">
      <c r="A4" t="s">
        <v>5</v>
      </c>
      <c r="B4" t="s">
        <v>21</v>
      </c>
      <c r="C4">
        <v>2.1</v>
      </c>
      <c r="D4" s="1">
        <f>C4/SUM(C2:C5)</f>
        <v>2.6929982046678642E-2</v>
      </c>
      <c r="E4" t="s">
        <v>25</v>
      </c>
    </row>
    <row r="5" spans="1:5">
      <c r="A5" t="s">
        <v>5</v>
      </c>
      <c r="B5" t="s">
        <v>22</v>
      </c>
      <c r="C5">
        <v>1.8</v>
      </c>
      <c r="D5" s="1">
        <f>C5/SUM(C2:C5)</f>
        <v>2.3082841754295976E-2</v>
      </c>
      <c r="E5" t="s">
        <v>24</v>
      </c>
    </row>
    <row r="6" spans="1:5">
      <c r="A6" t="s">
        <v>7</v>
      </c>
      <c r="B6" t="s">
        <v>19</v>
      </c>
      <c r="C6">
        <v>16.75</v>
      </c>
      <c r="D6" s="1">
        <f>C6/SUM(C6:C9)</f>
        <v>0.86118251928020573</v>
      </c>
      <c r="E6" t="s">
        <v>23</v>
      </c>
    </row>
    <row r="7" spans="1:5">
      <c r="A7" t="s">
        <v>7</v>
      </c>
      <c r="B7" t="s">
        <v>26</v>
      </c>
      <c r="C7">
        <v>1.2</v>
      </c>
      <c r="D7" s="1">
        <f>C7/SUM(C6:C9)</f>
        <v>6.1696658097686374E-2</v>
      </c>
      <c r="E7" t="s">
        <v>24</v>
      </c>
    </row>
    <row r="8" spans="1:5">
      <c r="A8" t="s">
        <v>7</v>
      </c>
      <c r="B8" t="s">
        <v>22</v>
      </c>
      <c r="C8">
        <v>0.9</v>
      </c>
      <c r="D8" s="1">
        <f>C8/SUM(C6:C9)</f>
        <v>4.6272493573264788E-2</v>
      </c>
      <c r="E8" t="s">
        <v>24</v>
      </c>
    </row>
    <row r="9" spans="1:5">
      <c r="A9" t="s">
        <v>7</v>
      </c>
      <c r="B9" t="s">
        <v>27</v>
      </c>
      <c r="C9">
        <v>0.6</v>
      </c>
      <c r="D9" s="1">
        <f>C9/SUM(C6:C9)</f>
        <v>3.0848329048843187E-2</v>
      </c>
      <c r="E9" t="s">
        <v>25</v>
      </c>
    </row>
    <row r="10" spans="1:5">
      <c r="A10" t="s">
        <v>8</v>
      </c>
      <c r="B10" t="s">
        <v>19</v>
      </c>
      <c r="C10">
        <v>6.83</v>
      </c>
      <c r="D10" s="1">
        <f>C10/SUM(C10:C13)</f>
        <v>0.6948118006103764</v>
      </c>
      <c r="E10" t="s">
        <v>23</v>
      </c>
    </row>
    <row r="11" spans="1:5">
      <c r="A11" t="s">
        <v>8</v>
      </c>
      <c r="B11" t="s">
        <v>28</v>
      </c>
      <c r="C11">
        <v>1.4</v>
      </c>
      <c r="D11" s="1">
        <f>C11/SUM(C10:C13)</f>
        <v>0.14242115971515767</v>
      </c>
      <c r="E11" t="s">
        <v>25</v>
      </c>
    </row>
    <row r="12" spans="1:5">
      <c r="A12" t="s">
        <v>8</v>
      </c>
      <c r="B12" t="s">
        <v>20</v>
      </c>
      <c r="C12">
        <v>0.9</v>
      </c>
      <c r="D12" s="1">
        <f>C12/SUM(C10:C13)</f>
        <v>9.1556459816887079E-2</v>
      </c>
      <c r="E12" t="s">
        <v>24</v>
      </c>
    </row>
    <row r="13" spans="1:5">
      <c r="A13" t="s">
        <v>8</v>
      </c>
      <c r="B13" t="s">
        <v>22</v>
      </c>
      <c r="C13">
        <v>0.7</v>
      </c>
      <c r="D13" s="1">
        <f>C13/SUM(C10:C13)</f>
        <v>7.1210579857578837E-2</v>
      </c>
      <c r="E13" t="s">
        <v>24</v>
      </c>
    </row>
    <row r="14" spans="1:5">
      <c r="A14" t="s">
        <v>10</v>
      </c>
      <c r="B14" t="s">
        <v>19</v>
      </c>
      <c r="C14">
        <v>9.1300000000000008</v>
      </c>
      <c r="D14" s="1">
        <f>C14/SUM(C14:C17)</f>
        <v>0.65541995692749455</v>
      </c>
      <c r="E14" t="s">
        <v>23</v>
      </c>
    </row>
    <row r="15" spans="1:5">
      <c r="A15" t="s">
        <v>10</v>
      </c>
      <c r="B15" t="s">
        <v>29</v>
      </c>
      <c r="C15">
        <v>2.1</v>
      </c>
      <c r="D15" s="1">
        <f>C15/SUM(C14:C17)</f>
        <v>0.15075376884422109</v>
      </c>
      <c r="E15" t="s">
        <v>24</v>
      </c>
    </row>
    <row r="16" spans="1:5">
      <c r="A16" t="s">
        <v>10</v>
      </c>
      <c r="B16" t="s">
        <v>20</v>
      </c>
      <c r="C16">
        <v>1.8</v>
      </c>
      <c r="D16" s="1">
        <f>C16/SUM(C14:C17)</f>
        <v>0.12921751615218952</v>
      </c>
      <c r="E16" t="s">
        <v>24</v>
      </c>
    </row>
    <row r="17" spans="1:5">
      <c r="A17" t="s">
        <v>10</v>
      </c>
      <c r="B17" t="s">
        <v>30</v>
      </c>
      <c r="C17">
        <v>0.9</v>
      </c>
      <c r="D17" s="1">
        <f>C17/SUM(C14:C17)</f>
        <v>6.4608758076094758E-2</v>
      </c>
      <c r="E17" t="s">
        <v>24</v>
      </c>
    </row>
    <row r="18" spans="1:5">
      <c r="A18" t="s">
        <v>11</v>
      </c>
      <c r="B18" t="s">
        <v>19</v>
      </c>
      <c r="C18">
        <v>3.14</v>
      </c>
      <c r="D18" s="1">
        <f>C18/SUM(C18:C21)</f>
        <v>0.54703832752613246</v>
      </c>
      <c r="E18" t="s">
        <v>23</v>
      </c>
    </row>
    <row r="19" spans="1:5">
      <c r="A19" t="s">
        <v>11</v>
      </c>
      <c r="B19" t="s">
        <v>21</v>
      </c>
      <c r="C19">
        <v>1.2</v>
      </c>
      <c r="D19" s="1">
        <f>C19/SUM(C18:C21)</f>
        <v>0.20905923344947736</v>
      </c>
      <c r="E19" t="s">
        <v>25</v>
      </c>
    </row>
    <row r="20" spans="1:5">
      <c r="A20" t="s">
        <v>11</v>
      </c>
      <c r="B20" t="s">
        <v>29</v>
      </c>
      <c r="C20">
        <v>0.8</v>
      </c>
      <c r="D20" s="1">
        <f>C20/SUM(C18:C21)</f>
        <v>0.13937282229965159</v>
      </c>
      <c r="E20" t="s">
        <v>24</v>
      </c>
    </row>
    <row r="21" spans="1:5">
      <c r="A21" t="s">
        <v>11</v>
      </c>
      <c r="B21" t="s">
        <v>22</v>
      </c>
      <c r="C21">
        <v>0.6</v>
      </c>
      <c r="D21" s="1">
        <f>C21/SUM(C18:C21)</f>
        <v>0.10452961672473868</v>
      </c>
      <c r="E21" t="s">
        <v>24</v>
      </c>
    </row>
    <row r="22" spans="1:5">
      <c r="A22" t="s">
        <v>12</v>
      </c>
      <c r="B22" t="s">
        <v>19</v>
      </c>
      <c r="C22">
        <v>4.3899999999999997</v>
      </c>
      <c r="D22" s="1">
        <f>C22/SUM(C22:C25)</f>
        <v>0.70920840064620361</v>
      </c>
      <c r="E22" t="s">
        <v>23</v>
      </c>
    </row>
    <row r="23" spans="1:5">
      <c r="A23" t="s">
        <v>12</v>
      </c>
      <c r="B23" t="s">
        <v>31</v>
      </c>
      <c r="C23">
        <v>0.8</v>
      </c>
      <c r="D23" s="1">
        <f>C23/SUM(C22:C25)</f>
        <v>0.12924071082390956</v>
      </c>
      <c r="E23" t="s">
        <v>25</v>
      </c>
    </row>
    <row r="24" spans="1:5">
      <c r="A24" t="s">
        <v>12</v>
      </c>
      <c r="B24" t="s">
        <v>32</v>
      </c>
      <c r="C24">
        <v>0.6</v>
      </c>
      <c r="D24" s="1">
        <f>C24/SUM(C22:C25)</f>
        <v>9.6930533117932149E-2</v>
      </c>
      <c r="E24" t="s">
        <v>25</v>
      </c>
    </row>
    <row r="25" spans="1:5">
      <c r="A25" t="s">
        <v>12</v>
      </c>
      <c r="B25" t="s">
        <v>33</v>
      </c>
      <c r="C25">
        <v>0.4</v>
      </c>
      <c r="D25" s="1">
        <f>C25/SUM(C22:C25)</f>
        <v>6.462035541195478E-2</v>
      </c>
      <c r="E25" t="s">
        <v>25</v>
      </c>
    </row>
    <row r="26" spans="1:5">
      <c r="A26" t="s">
        <v>13</v>
      </c>
      <c r="B26" t="s">
        <v>19</v>
      </c>
      <c r="C26">
        <v>2.73</v>
      </c>
      <c r="D26" s="1">
        <f>C26/SUM(C26:C29)</f>
        <v>0.34865900383141762</v>
      </c>
      <c r="E26" t="s">
        <v>23</v>
      </c>
    </row>
    <row r="27" spans="1:5">
      <c r="A27" t="s">
        <v>13</v>
      </c>
      <c r="B27" t="s">
        <v>26</v>
      </c>
      <c r="C27">
        <v>2.1</v>
      </c>
      <c r="D27" s="1">
        <f>C27/SUM(C26:C29)</f>
        <v>0.26819923371647508</v>
      </c>
      <c r="E27" t="s">
        <v>24</v>
      </c>
    </row>
    <row r="28" spans="1:5">
      <c r="A28" t="s">
        <v>13</v>
      </c>
      <c r="B28" t="s">
        <v>29</v>
      </c>
      <c r="C28">
        <v>1.8</v>
      </c>
      <c r="D28" s="1">
        <f>C28/SUM(C26:C29)</f>
        <v>0.22988505747126436</v>
      </c>
      <c r="E28" t="s">
        <v>24</v>
      </c>
    </row>
    <row r="29" spans="1:5">
      <c r="A29" t="s">
        <v>13</v>
      </c>
      <c r="B29" t="s">
        <v>22</v>
      </c>
      <c r="C29">
        <v>1.2</v>
      </c>
      <c r="D29" s="1">
        <f>C29/SUM(C26:C29)</f>
        <v>0.1532567049808429</v>
      </c>
      <c r="E29" t="s">
        <v>24</v>
      </c>
    </row>
    <row r="30" spans="1:5">
      <c r="A30" t="s">
        <v>14</v>
      </c>
      <c r="B30" t="s">
        <v>19</v>
      </c>
      <c r="C30">
        <v>2.36</v>
      </c>
      <c r="D30" s="1">
        <f>C30/SUM(C30:C33)</f>
        <v>0.58128078817733975</v>
      </c>
      <c r="E30" t="s">
        <v>23</v>
      </c>
    </row>
    <row r="31" spans="1:5">
      <c r="A31" t="s">
        <v>14</v>
      </c>
      <c r="B31" t="s">
        <v>34</v>
      </c>
      <c r="C31">
        <v>0.8</v>
      </c>
      <c r="D31" s="1">
        <f>C31/SUM(C30:C33)</f>
        <v>0.19704433497536944</v>
      </c>
      <c r="E31" t="s">
        <v>25</v>
      </c>
    </row>
    <row r="32" spans="1:5">
      <c r="A32" t="s">
        <v>14</v>
      </c>
      <c r="B32" t="s">
        <v>35</v>
      </c>
      <c r="C32">
        <v>0.5</v>
      </c>
      <c r="D32" s="1">
        <f>C32/SUM(C30:C33)</f>
        <v>0.1231527093596059</v>
      </c>
      <c r="E32" t="s">
        <v>25</v>
      </c>
    </row>
    <row r="33" spans="1:5">
      <c r="A33" t="s">
        <v>14</v>
      </c>
      <c r="B33" t="s">
        <v>36</v>
      </c>
      <c r="C33">
        <v>0.4</v>
      </c>
      <c r="D33" s="1">
        <f>C33/SUM(C30:C33)</f>
        <v>9.852216748768472E-2</v>
      </c>
      <c r="E3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33F0-FFD3-4185-A5DA-7C9F41E0768C}">
  <dimension ref="A1:G9"/>
  <sheetViews>
    <sheetView workbookViewId="0">
      <selection sqref="A1:XFD1"/>
    </sheetView>
  </sheetViews>
  <sheetFormatPr defaultRowHeight="14.4"/>
  <cols>
    <col min="1" max="1" width="26.33203125" bestFit="1" customWidth="1"/>
    <col min="2" max="2" width="16.6640625" bestFit="1" customWidth="1"/>
    <col min="3" max="3" width="15.109375" bestFit="1" customWidth="1"/>
    <col min="4" max="5" width="18.77734375" bestFit="1" customWidth="1"/>
    <col min="6" max="6" width="19.77734375" bestFit="1" customWidth="1"/>
    <col min="7" max="7" width="12.5546875" bestFit="1" customWidth="1"/>
  </cols>
  <sheetData>
    <row r="1" spans="1:7" s="3" customFormat="1">
      <c r="A1" s="5" t="s">
        <v>0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</row>
    <row r="2" spans="1:7">
      <c r="A2" t="s">
        <v>5</v>
      </c>
      <c r="B2">
        <v>85</v>
      </c>
      <c r="C2">
        <v>85</v>
      </c>
      <c r="D2">
        <v>70</v>
      </c>
      <c r="E2">
        <v>90</v>
      </c>
      <c r="F2">
        <f t="shared" ref="F2:F9" si="0">(B2*0.4)+(C2*0.35)+(E2*0.25)</f>
        <v>86.25</v>
      </c>
      <c r="G2" t="str">
        <f t="shared" ref="G2:G9" si="1">IF(F2&gt;=80,"Critical",IF(F2&gt;=60,"High",IF(F2&gt;=40,"Moderate","Low")))</f>
        <v>Critical</v>
      </c>
    </row>
    <row r="3" spans="1:7">
      <c r="A3" t="s">
        <v>7</v>
      </c>
      <c r="B3">
        <v>78</v>
      </c>
      <c r="C3">
        <v>85</v>
      </c>
      <c r="D3">
        <v>65</v>
      </c>
      <c r="E3">
        <v>95</v>
      </c>
      <c r="F3">
        <f t="shared" si="0"/>
        <v>84.7</v>
      </c>
      <c r="G3" t="str">
        <f t="shared" si="1"/>
        <v>Critical</v>
      </c>
    </row>
    <row r="4" spans="1:7">
      <c r="A4" t="s">
        <v>8</v>
      </c>
      <c r="B4">
        <v>72</v>
      </c>
      <c r="C4">
        <v>65</v>
      </c>
      <c r="D4">
        <v>55</v>
      </c>
      <c r="E4">
        <v>55</v>
      </c>
      <c r="F4">
        <f t="shared" si="0"/>
        <v>65.3</v>
      </c>
      <c r="G4" t="str">
        <f t="shared" si="1"/>
        <v>High</v>
      </c>
    </row>
    <row r="5" spans="1:7">
      <c r="A5" t="s">
        <v>10</v>
      </c>
      <c r="B5">
        <v>60</v>
      </c>
      <c r="C5">
        <v>65</v>
      </c>
      <c r="D5">
        <v>50</v>
      </c>
      <c r="E5">
        <v>70</v>
      </c>
      <c r="F5">
        <f t="shared" si="0"/>
        <v>64.25</v>
      </c>
      <c r="G5" t="str">
        <f t="shared" si="1"/>
        <v>High</v>
      </c>
    </row>
    <row r="6" spans="1:7">
      <c r="A6" t="s">
        <v>11</v>
      </c>
      <c r="B6">
        <v>97</v>
      </c>
      <c r="C6">
        <v>95</v>
      </c>
      <c r="D6">
        <v>95</v>
      </c>
      <c r="E6">
        <v>98</v>
      </c>
      <c r="F6">
        <f t="shared" si="0"/>
        <v>96.550000000000011</v>
      </c>
      <c r="G6" t="str">
        <f t="shared" si="1"/>
        <v>Critical</v>
      </c>
    </row>
    <row r="7" spans="1:7">
      <c r="A7" t="s">
        <v>12</v>
      </c>
      <c r="B7">
        <v>55</v>
      </c>
      <c r="C7">
        <v>60</v>
      </c>
      <c r="D7">
        <v>40</v>
      </c>
      <c r="E7">
        <v>45</v>
      </c>
      <c r="F7">
        <f t="shared" si="0"/>
        <v>54.25</v>
      </c>
      <c r="G7" t="str">
        <f t="shared" si="1"/>
        <v>Moderate</v>
      </c>
    </row>
    <row r="8" spans="1:7">
      <c r="A8" t="s">
        <v>13</v>
      </c>
      <c r="B8">
        <v>48</v>
      </c>
      <c r="C8">
        <v>70</v>
      </c>
      <c r="D8">
        <v>45</v>
      </c>
      <c r="E8">
        <v>70</v>
      </c>
      <c r="F8">
        <f t="shared" si="0"/>
        <v>61.2</v>
      </c>
      <c r="G8" t="str">
        <f t="shared" si="1"/>
        <v>High</v>
      </c>
    </row>
    <row r="9" spans="1:7">
      <c r="A9" t="s">
        <v>14</v>
      </c>
      <c r="B9">
        <v>52</v>
      </c>
      <c r="C9">
        <v>60</v>
      </c>
      <c r="D9">
        <v>40</v>
      </c>
      <c r="E9">
        <v>40</v>
      </c>
      <c r="F9">
        <f t="shared" si="0"/>
        <v>51.8</v>
      </c>
      <c r="G9" t="str">
        <f t="shared" si="1"/>
        <v>Moderate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6991-0C0A-43B3-A812-7F733E33B364}">
  <dimension ref="A1:G9"/>
  <sheetViews>
    <sheetView topLeftCell="B1" workbookViewId="0">
      <selection activeCell="E19" sqref="E19"/>
    </sheetView>
  </sheetViews>
  <sheetFormatPr defaultRowHeight="14.4"/>
  <cols>
    <col min="1" max="1" width="26.33203125" bestFit="1" customWidth="1"/>
    <col min="2" max="2" width="47.5546875" bestFit="1" customWidth="1"/>
    <col min="3" max="3" width="13.5546875" bestFit="1" customWidth="1"/>
    <col min="4" max="4" width="14.33203125" style="7" bestFit="1" customWidth="1"/>
    <col min="5" max="5" width="15" bestFit="1" customWidth="1"/>
    <col min="6" max="6" width="19.5546875" bestFit="1" customWidth="1"/>
    <col min="7" max="7" width="10.44140625" bestFit="1" customWidth="1"/>
  </cols>
  <sheetData>
    <row r="1" spans="1:7" s="3" customFormat="1">
      <c r="A1" s="3" t="s">
        <v>0</v>
      </c>
      <c r="B1" s="3" t="s">
        <v>43</v>
      </c>
      <c r="C1" s="3" t="s">
        <v>44</v>
      </c>
      <c r="D1" s="6" t="s">
        <v>45</v>
      </c>
      <c r="E1" s="3" t="s">
        <v>46</v>
      </c>
      <c r="F1" s="3" t="s">
        <v>47</v>
      </c>
      <c r="G1" s="3" t="s">
        <v>48</v>
      </c>
    </row>
    <row r="2" spans="1:7">
      <c r="A2" t="s">
        <v>5</v>
      </c>
      <c r="B2" t="s">
        <v>49</v>
      </c>
      <c r="C2">
        <v>2020</v>
      </c>
      <c r="D2" s="7">
        <v>6.65</v>
      </c>
      <c r="E2">
        <v>20</v>
      </c>
      <c r="F2">
        <v>15</v>
      </c>
      <c r="G2" t="s">
        <v>50</v>
      </c>
    </row>
    <row r="3" spans="1:7">
      <c r="A3" t="s">
        <v>7</v>
      </c>
      <c r="B3" t="s">
        <v>51</v>
      </c>
      <c r="C3">
        <v>2020</v>
      </c>
      <c r="D3" s="7">
        <v>0.74</v>
      </c>
      <c r="E3">
        <v>10</v>
      </c>
      <c r="F3">
        <v>12</v>
      </c>
      <c r="G3" t="s">
        <v>50</v>
      </c>
    </row>
    <row r="4" spans="1:7">
      <c r="A4" t="s">
        <v>8</v>
      </c>
      <c r="B4" t="s">
        <v>52</v>
      </c>
      <c r="C4">
        <v>2020</v>
      </c>
      <c r="D4" s="7">
        <v>4.5</v>
      </c>
      <c r="E4">
        <v>5</v>
      </c>
      <c r="F4">
        <v>6</v>
      </c>
      <c r="G4" t="s">
        <v>53</v>
      </c>
    </row>
    <row r="5" spans="1:7">
      <c r="A5" t="s">
        <v>10</v>
      </c>
      <c r="B5" t="s">
        <v>54</v>
      </c>
      <c r="C5">
        <v>2017</v>
      </c>
      <c r="D5" s="7">
        <v>2.1</v>
      </c>
      <c r="E5">
        <v>7</v>
      </c>
      <c r="F5">
        <v>8</v>
      </c>
      <c r="G5" t="s">
        <v>50</v>
      </c>
    </row>
    <row r="6" spans="1:7">
      <c r="A6" t="s">
        <v>11</v>
      </c>
      <c r="B6" t="s">
        <v>55</v>
      </c>
      <c r="C6">
        <v>2022</v>
      </c>
      <c r="D6" s="7">
        <v>10</v>
      </c>
      <c r="E6">
        <v>0</v>
      </c>
      <c r="F6">
        <v>5</v>
      </c>
      <c r="G6" t="s">
        <v>50</v>
      </c>
    </row>
    <row r="7" spans="1:7">
      <c r="A7" t="s">
        <v>12</v>
      </c>
      <c r="B7" t="s">
        <v>56</v>
      </c>
      <c r="C7">
        <v>2021</v>
      </c>
      <c r="D7" s="7">
        <v>1.44</v>
      </c>
      <c r="E7">
        <v>20</v>
      </c>
      <c r="F7">
        <v>10</v>
      </c>
      <c r="G7" t="s">
        <v>50</v>
      </c>
    </row>
    <row r="8" spans="1:7">
      <c r="A8" t="s">
        <v>13</v>
      </c>
      <c r="B8" t="s">
        <v>57</v>
      </c>
      <c r="C8">
        <v>2021</v>
      </c>
      <c r="D8" s="7">
        <v>3.5</v>
      </c>
      <c r="E8">
        <v>15</v>
      </c>
      <c r="F8">
        <v>12</v>
      </c>
      <c r="G8" t="s">
        <v>50</v>
      </c>
    </row>
    <row r="9" spans="1:7">
      <c r="A9" t="s">
        <v>14</v>
      </c>
      <c r="B9" t="s">
        <v>58</v>
      </c>
      <c r="C9" t="s">
        <v>59</v>
      </c>
      <c r="D9" s="7">
        <v>0</v>
      </c>
      <c r="E9">
        <v>5</v>
      </c>
      <c r="F9">
        <v>0</v>
      </c>
      <c r="G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Sector_Import_Data</vt:lpstr>
      <vt:lpstr>Country_Sector_Matrix</vt:lpstr>
      <vt:lpstr>Risk_Score_Table</vt:lpstr>
      <vt:lpstr>Policy_Tracker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Sawant</dc:creator>
  <cp:lastModifiedBy>Sakshi Sawant</cp:lastModifiedBy>
  <dcterms:created xsi:type="dcterms:W3CDTF">2026-03-23T14:24:52Z</dcterms:created>
  <dcterms:modified xsi:type="dcterms:W3CDTF">2026-03-24T14:11:33Z</dcterms:modified>
</cp:coreProperties>
</file>